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<sst xmlns="http://schemas.openxmlformats.org/spreadsheetml/2006/main" count="117" uniqueCount="24">
  <si>
    <t>Formulário de Calibração 003</t>
  </si>
  <si>
    <t xml:space="preserve"> HIPOT</t>
  </si>
  <si>
    <t>Tensão</t>
  </si>
  <si>
    <t>5000V</t>
  </si>
  <si>
    <t>Corrente</t>
  </si>
  <si>
    <t>150mA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</si>
  <si>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</si>
  <si>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</si>
  <si>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</si>
  <si>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</si>
  <si>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</si>
  <si>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</si>
  <si>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</si>
  <si>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</si>
  <si>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</si>
  <si>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</si>
  <si>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</si>
  <si>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</si>
  <si>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Tensão (VK AC)</t>
  </si>
  <si>
    <t>Medição</t>
  </si>
  <si>
    <t>Padrão</t>
  </si>
  <si>
    <t>Painel</t>
  </si>
  <si>
    <t>Corrente (mA AC)</t>
  </si>
  <si>
    <t>300mA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</si>
</sst>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rgb="FF000000"/>
      <name val="Avenir"/>
    </font>
    <font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right" readingOrder="0" vertical="center"/>
    </xf>
    <xf borderId="6" fillId="0" fontId="4" numFmtId="0" xfId="0" applyBorder="1" applyFont="1"/>
    <xf borderId="1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1">
    <dxf>
      <font>
        <color rgb="FFCCCCCC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63"/>
    <col customWidth="1" min="4" max="4" width="0.75"/>
    <col customWidth="1" min="6" max="7" width="7.63"/>
    <col customWidth="1" min="8" max="8" width="0.75"/>
    <col customWidth="1" min="10" max="11" width="7.63"/>
  </cols>
  <sheetData>
    <row r="1" ht="15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/>
      <c r="C2" s="5"/>
      <c r="D2" s="6"/>
      <c r="E2" s="7" t="s">
        <v>2</v>
      </c>
      <c r="F2" s="3" t="s">
        <v>3</v>
      </c>
      <c r="G2" s="5"/>
      <c r="H2" s="6"/>
      <c r="I2" s="7" t="s">
        <v>4</v>
      </c>
      <c r="J2" s="3" t="s">
        <v>5</v>
      </c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7" t="s">
        <v>6</v>
      </c>
      <c r="B3" s="8" t="s">
        <v>7</v>
      </c>
      <c r="C3" s="5"/>
      <c r="D3" s="2"/>
      <c r="E3" s="7" t="s">
        <v>8</v>
      </c>
      <c r="F3" s="9"/>
      <c r="G3" s="5"/>
      <c r="H3" s="2"/>
      <c r="I3" s="7" t="s">
        <v>9</v>
      </c>
      <c r="J3" s="10" t="s">
        <v>10</v>
      </c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 t="s">
        <v>11</v>
      </c>
      <c r="B4" s="8" t="s">
        <v>12</v>
      </c>
      <c r="C4" s="5"/>
      <c r="D4" s="2"/>
      <c r="E4" s="7" t="s">
        <v>13</v>
      </c>
      <c r="F4" s="9"/>
      <c r="G4" s="5"/>
      <c r="H4" s="2"/>
      <c r="I4" s="7" t="s">
        <v>14</v>
      </c>
      <c r="J4" s="12" t="s">
        <v>15</v>
      </c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7" t="s">
        <v>16</v>
      </c>
      <c r="B5" s="9"/>
      <c r="C5" s="5"/>
      <c r="D5" s="2"/>
      <c r="E5" s="7" t="s">
        <v>17</v>
      </c>
      <c r="F5" s="9"/>
      <c r="G5" s="5"/>
      <c r="H5" s="2"/>
      <c r="I5" s="7" t="s">
        <v>2</v>
      </c>
      <c r="J5" s="9"/>
      <c r="K5" s="5"/>
      <c r="L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4" t="s">
        <v>18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5" t="s">
        <v>19</v>
      </c>
      <c r="B8" s="16" t="s">
        <v>20</v>
      </c>
      <c r="C8" s="16" t="s">
        <v>21</v>
      </c>
      <c r="D8" s="2"/>
      <c r="E8" s="15" t="s">
        <v>19</v>
      </c>
      <c r="F8" s="16" t="s">
        <v>20</v>
      </c>
      <c r="G8" s="16" t="s">
        <v>21</v>
      </c>
      <c r="H8" s="2"/>
      <c r="I8" s="15" t="s">
        <v>19</v>
      </c>
      <c r="J8" s="16" t="s">
        <v>20</v>
      </c>
      <c r="K8" s="16" t="s">
        <v>21</v>
      </c>
      <c r="L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7">
        <v>1.0</v>
      </c>
      <c r="B9" s="18">
        <v>0.979</v>
      </c>
      <c r="C9" s="19"/>
      <c r="D9" s="2"/>
      <c r="E9" s="17">
        <v>2.0</v>
      </c>
      <c r="F9" s="18">
        <v>0.979</v>
      </c>
      <c r="G9" s="20"/>
      <c r="H9" s="2"/>
      <c r="I9" s="21">
        <v>3.0</v>
      </c>
      <c r="J9" s="18">
        <v>0.979</v>
      </c>
      <c r="K9" s="20"/>
      <c r="L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2"/>
      <c r="B10" s="18">
        <v>2.011</v>
      </c>
      <c r="C10" s="19"/>
      <c r="D10" s="2"/>
      <c r="E10" s="22"/>
      <c r="F10" s="18">
        <v>2.011</v>
      </c>
      <c r="G10" s="20"/>
      <c r="H10" s="2"/>
      <c r="I10" s="22"/>
      <c r="J10" s="18">
        <v>2.011</v>
      </c>
      <c r="K10" s="20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2"/>
      <c r="B11" s="18">
        <v>3.016</v>
      </c>
      <c r="C11" s="19"/>
      <c r="D11" s="2"/>
      <c r="E11" s="22"/>
      <c r="F11" s="18">
        <v>3.016</v>
      </c>
      <c r="G11" s="20"/>
      <c r="H11" s="2"/>
      <c r="I11" s="22"/>
      <c r="J11" s="18">
        <v>3.016</v>
      </c>
      <c r="K11" s="20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2"/>
      <c r="B12" s="18" t="str">
        <f>IF($F$2="3000V","Não Usar","4,009")</f>
        <v>4,009</v>
      </c>
      <c r="C12" s="19" t="str">
        <f t="shared" ref="C12:C13" si="1">if(B12="Não Usar","Não Usar","")</f>
        <v/>
      </c>
      <c r="D12" s="2"/>
      <c r="E12" s="22"/>
      <c r="F12" s="18" t="str">
        <f>IF($F$2="3000V","Não Usar","4,009")</f>
        <v>4,009</v>
      </c>
      <c r="G12" s="19" t="str">
        <f t="shared" ref="G12:G13" si="2">if(F12="Não Usar","Não Usar","")</f>
        <v/>
      </c>
      <c r="H12" s="2"/>
      <c r="I12" s="22"/>
      <c r="J12" s="18" t="str">
        <f>IF($F$2="3000V","Não Usar","4,009")</f>
        <v>4,009</v>
      </c>
      <c r="K12" s="19" t="str">
        <f t="shared" ref="K12:K13" si="3">if(J12="Não Usar","Não Usar","")</f>
        <v/>
      </c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3"/>
      <c r="B13" s="18" t="str">
        <f>IF($F$2="3000V","Não Usar","5,012")</f>
        <v>5,012</v>
      </c>
      <c r="C13" s="19" t="str">
        <f t="shared" si="1"/>
        <v/>
      </c>
      <c r="D13" s="24"/>
      <c r="E13" s="23"/>
      <c r="F13" s="18" t="str">
        <f>IF($F$2="3000V","Não Usar","5,012")</f>
        <v>5,012</v>
      </c>
      <c r="G13" s="19" t="str">
        <f t="shared" si="2"/>
        <v/>
      </c>
      <c r="H13" s="24"/>
      <c r="I13" s="23"/>
      <c r="J13" s="18" t="str">
        <f>IF($F$2="3000V","Não Usar","5,012")</f>
        <v>5,012</v>
      </c>
      <c r="K13" s="19" t="str">
        <f t="shared" si="3"/>
        <v/>
      </c>
    </row>
    <row r="14" ht="3.75" customHeight="1">
      <c r="B14" s="25"/>
    </row>
    <row r="15" ht="15.0" customHeight="1">
      <c r="A15" s="26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0" customHeight="1">
      <c r="A16" s="15" t="s">
        <v>19</v>
      </c>
      <c r="B16" s="16" t="s">
        <v>20</v>
      </c>
      <c r="C16" s="16" t="s">
        <v>21</v>
      </c>
      <c r="D16" s="2"/>
      <c r="E16" s="15" t="s">
        <v>19</v>
      </c>
      <c r="F16" s="16" t="s">
        <v>20</v>
      </c>
      <c r="G16" s="16" t="s">
        <v>21</v>
      </c>
      <c r="H16" s="2"/>
      <c r="I16" s="15" t="s">
        <v>19</v>
      </c>
      <c r="J16" s="16" t="s">
        <v>20</v>
      </c>
      <c r="K16" s="16" t="s">
        <v>21</v>
      </c>
      <c r="L16" s="2"/>
      <c r="X16" s="2"/>
      <c r="Y16" s="2"/>
      <c r="Z16" s="2"/>
      <c r="AA16" s="2"/>
      <c r="AB16" s="2"/>
      <c r="AC16" s="2"/>
      <c r="AD16" s="2"/>
    </row>
    <row r="17" ht="15.0" customHeight="1">
      <c r="A17" s="17">
        <v>1.0</v>
      </c>
      <c r="B17" s="18" t="str">
        <f>IF($J$2="30mA","0,9",IF($J$2 = "150mA","5","50"))</f>
        <v>5</v>
      </c>
      <c r="C17" s="19"/>
      <c r="D17" s="2"/>
      <c r="E17" s="17">
        <v>2.0</v>
      </c>
      <c r="F17" s="18" t="str">
        <f>IF($J$2="30mA","0,9",IF($J$2 = "150mA","5","50"))</f>
        <v>5</v>
      </c>
      <c r="G17" s="20"/>
      <c r="H17" s="2"/>
      <c r="I17" s="21">
        <v>3.0</v>
      </c>
      <c r="J17" s="18" t="str">
        <f>IF($J$2="30mA","0,9",IF($J$2 = "150mA","5","50"))</f>
        <v>5</v>
      </c>
      <c r="K17" s="20"/>
      <c r="L17" s="2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0" customHeight="1">
      <c r="A18" s="22"/>
      <c r="B18" s="18" t="str">
        <f>IF($J$2="30mA","5",IF($J$2 = "150mA","12,5","100"))</f>
        <v>12,5</v>
      </c>
      <c r="C18" s="19"/>
      <c r="D18" s="2"/>
      <c r="E18" s="22"/>
      <c r="F18" s="18" t="str">
        <f>IF($J$2="30mA","5",IF($J$2 = "150mA","12,5","100"))</f>
        <v>12,5</v>
      </c>
      <c r="G18" s="20"/>
      <c r="H18" s="2"/>
      <c r="I18" s="22"/>
      <c r="J18" s="18" t="str">
        <f>IF($J$2="30mA","5",IF($J$2 = "150mA","12,5","100"))</f>
        <v>12,5</v>
      </c>
      <c r="K18" s="20"/>
      <c r="L18" s="2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0" customHeight="1">
      <c r="A19" s="22"/>
      <c r="B19" s="18" t="str">
        <f>IF($J$2="30mA","12,5",IF($J$2 = "150mA","25","200,2"))</f>
        <v>25</v>
      </c>
      <c r="C19" s="19"/>
      <c r="D19" s="2"/>
      <c r="E19" s="22"/>
      <c r="F19" s="18" t="str">
        <f>IF($J$2="30mA","12,5",IF($J$2 = "150mA","25","200,2"))</f>
        <v>25</v>
      </c>
      <c r="G19" s="20"/>
      <c r="H19" s="2"/>
      <c r="I19" s="22"/>
      <c r="J19" s="18" t="str">
        <f>IF($J$2="30mA","12,5",IF($J$2 = "150mA","25","200,2"))</f>
        <v>25</v>
      </c>
      <c r="K19" s="20"/>
      <c r="L19" s="2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0" customHeight="1">
      <c r="A20" s="22"/>
      <c r="B20" s="18" t="str">
        <f>IF($J$2="30mA","25",IF($J$2 = "150mA","50","300,2"))</f>
        <v>50</v>
      </c>
      <c r="C20" s="19"/>
      <c r="D20" s="2"/>
      <c r="E20" s="22"/>
      <c r="F20" s="18" t="str">
        <f>IF($J$2="30mA","25",IF($J$2 = "150mA","50","300,2"))</f>
        <v>50</v>
      </c>
      <c r="G20" s="20"/>
      <c r="H20" s="2"/>
      <c r="I20" s="22"/>
      <c r="J20" s="18" t="str">
        <f>IF($J$2="30mA","25",IF($J$2 = "150mA","50","300,2"))</f>
        <v>50</v>
      </c>
      <c r="K20" s="20"/>
      <c r="L20" s="2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0" customHeight="1">
      <c r="A21" s="23"/>
      <c r="B21" s="18" t="str">
        <f>IF($J$2="30mA","30",IF($J$2 = "150mA","100",IF($J$2="300mA","Não Usar","400,3")))</f>
        <v>100</v>
      </c>
      <c r="C21" s="18" t="str">
        <f>IF(B21="Não Usar","Não Usar","")</f>
        <v/>
      </c>
      <c r="D21" s="24"/>
      <c r="E21" s="23"/>
      <c r="F21" s="18" t="str">
        <f>IF($J$2="30mA","30",IF($J$2 = "150mA","100",IF($J$2="300mA","Não Usar","400,3")))</f>
        <v>100</v>
      </c>
      <c r="G21" s="18" t="str">
        <f>IF(F21="Não Usar","Não Usar","")</f>
        <v/>
      </c>
      <c r="H21" s="24"/>
      <c r="I21" s="23"/>
      <c r="J21" s="18" t="str">
        <f>IF($J$2="30mA","30",IF($J$2 = "150mA","100",IF($J$2="300mA","Não Usar","400,3")))</f>
        <v>100</v>
      </c>
      <c r="K21" s="18" t="str">
        <f>IF(J21="Não Usar","Não Usar","")</f>
        <v/>
      </c>
      <c r="L21" s="2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.75" customHeight="1">
      <c r="A22" s="24"/>
      <c r="B22" s="24"/>
      <c r="C22" s="24"/>
      <c r="L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0" customHeight="1">
      <c r="A23" s="1" t="s">
        <v>0</v>
      </c>
      <c r="L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0" customHeight="1">
      <c r="A24" s="3" t="s">
        <v>1</v>
      </c>
      <c r="B24" s="4"/>
      <c r="C24" s="5"/>
      <c r="D24" s="6"/>
      <c r="E24" s="7" t="s">
        <v>2</v>
      </c>
      <c r="F24" s="3" t="s">
        <v>3</v>
      </c>
      <c r="G24" s="5"/>
      <c r="H24" s="6"/>
      <c r="I24" s="7" t="s">
        <v>4</v>
      </c>
      <c r="J24" s="3" t="s">
        <v>23</v>
      </c>
      <c r="K24" s="5"/>
      <c r="L24" s="2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"/>
      <c r="AB24" s="2"/>
      <c r="AC24" s="2"/>
      <c r="AD24" s="2"/>
    </row>
    <row r="25" ht="15.0" customHeight="1">
      <c r="A25" s="7" t="s">
        <v>6</v>
      </c>
      <c r="B25" s="8" t="s">
        <v>7</v>
      </c>
      <c r="C25" s="5"/>
      <c r="D25" s="2"/>
      <c r="E25" s="7" t="s">
        <v>8</v>
      </c>
      <c r="F25" s="9"/>
      <c r="G25" s="5"/>
      <c r="H25" s="2"/>
      <c r="I25" s="7" t="s">
        <v>9</v>
      </c>
      <c r="J25" s="10" t="s">
        <v>10</v>
      </c>
      <c r="K25" s="5"/>
      <c r="L25" s="2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"/>
      <c r="AB25" s="2"/>
      <c r="AC25" s="2"/>
      <c r="AD25" s="2"/>
    </row>
    <row r="26" ht="15.0" customHeight="1">
      <c r="A26" s="11" t="s">
        <v>11</v>
      </c>
      <c r="B26" s="8" t="s">
        <v>12</v>
      </c>
      <c r="C26" s="5"/>
      <c r="D26" s="2"/>
      <c r="E26" s="7" t="s">
        <v>13</v>
      </c>
      <c r="F26" s="9"/>
      <c r="G26" s="5"/>
      <c r="H26" s="2"/>
      <c r="I26" s="7" t="s">
        <v>14</v>
      </c>
      <c r="J26" s="12" t="s">
        <v>15</v>
      </c>
      <c r="K26" s="13"/>
      <c r="L26" s="2"/>
      <c r="P26" s="24"/>
      <c r="Q26" s="24"/>
      <c r="R26" s="24"/>
      <c r="T26" s="24"/>
      <c r="X26" s="24"/>
      <c r="Y26" s="24"/>
      <c r="Z26" s="24"/>
      <c r="AA26" s="2"/>
      <c r="AB26" s="2"/>
      <c r="AC26" s="2"/>
      <c r="AD26" s="2"/>
    </row>
    <row r="27" ht="15.0" customHeight="1">
      <c r="A27" s="7" t="s">
        <v>16</v>
      </c>
      <c r="B27" s="9"/>
      <c r="C27" s="5"/>
      <c r="D27" s="2"/>
      <c r="E27" s="7" t="s">
        <v>17</v>
      </c>
      <c r="F27" s="9"/>
      <c r="G27" s="5"/>
      <c r="H27" s="2"/>
      <c r="I27" s="7" t="s">
        <v>2</v>
      </c>
      <c r="J27" s="9"/>
      <c r="K27" s="5"/>
      <c r="P27" s="24"/>
      <c r="Q27" s="24"/>
      <c r="R27" s="24"/>
      <c r="T27" s="24"/>
      <c r="X27" s="24"/>
      <c r="Y27" s="24"/>
      <c r="Z27" s="24"/>
    </row>
    <row r="28" ht="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4"/>
      <c r="T28" s="24"/>
      <c r="AA28" s="2"/>
      <c r="AB28" s="2"/>
      <c r="AC28" s="2"/>
      <c r="AD28" s="2"/>
    </row>
    <row r="29" ht="15.0" customHeight="1">
      <c r="A29" s="14" t="s">
        <v>18</v>
      </c>
      <c r="B29" s="4"/>
      <c r="C29" s="4"/>
      <c r="D29" s="4"/>
      <c r="E29" s="4"/>
      <c r="F29" s="4"/>
      <c r="G29" s="4"/>
      <c r="H29" s="4"/>
      <c r="I29" s="4"/>
      <c r="J29" s="4"/>
      <c r="K29" s="5"/>
      <c r="L29" s="2"/>
      <c r="M29" s="2"/>
      <c r="N29" s="2"/>
      <c r="O29" s="2"/>
      <c r="AA29" s="2"/>
      <c r="AB29" s="2"/>
      <c r="AC29" s="2"/>
      <c r="AD29" s="2"/>
    </row>
    <row r="30" ht="15.0" customHeight="1">
      <c r="A30" s="15" t="s">
        <v>19</v>
      </c>
      <c r="B30" s="16" t="s">
        <v>20</v>
      </c>
      <c r="C30" s="16" t="s">
        <v>21</v>
      </c>
      <c r="D30" s="2"/>
      <c r="E30" s="15" t="s">
        <v>19</v>
      </c>
      <c r="F30" s="16" t="s">
        <v>20</v>
      </c>
      <c r="G30" s="16" t="s">
        <v>21</v>
      </c>
      <c r="H30" s="2"/>
      <c r="I30" s="15" t="s">
        <v>19</v>
      </c>
      <c r="J30" s="16" t="s">
        <v>20</v>
      </c>
      <c r="K30" s="16" t="s">
        <v>21</v>
      </c>
      <c r="L30" s="2"/>
      <c r="M30" s="2"/>
      <c r="N30" s="2"/>
      <c r="O30" s="2"/>
      <c r="P30" s="24"/>
      <c r="Q30" s="24"/>
      <c r="R30" s="24"/>
      <c r="AA30" s="2"/>
      <c r="AB30" s="2"/>
      <c r="AC30" s="2"/>
      <c r="AD30" s="2"/>
    </row>
    <row r="31" ht="15.0" customHeight="1">
      <c r="A31" s="17">
        <v>1.0</v>
      </c>
      <c r="B31" s="18">
        <v>0.979</v>
      </c>
      <c r="C31" s="19"/>
      <c r="D31" s="2"/>
      <c r="E31" s="17">
        <v>2.0</v>
      </c>
      <c r="F31" s="18">
        <v>0.979</v>
      </c>
      <c r="G31" s="20"/>
      <c r="H31" s="2"/>
      <c r="I31" s="21">
        <v>3.0</v>
      </c>
      <c r="J31" s="18">
        <v>0.979</v>
      </c>
      <c r="K31" s="20"/>
      <c r="L31" s="2"/>
      <c r="M31" s="2"/>
      <c r="N31" s="2"/>
      <c r="O31" s="2"/>
      <c r="P31" s="24"/>
      <c r="Q31" s="24"/>
      <c r="R31" s="24"/>
      <c r="T31" s="24"/>
      <c r="U31" s="24"/>
      <c r="V31" s="24"/>
      <c r="X31" s="24"/>
      <c r="Y31" s="24"/>
      <c r="Z31" s="24"/>
      <c r="AA31" s="2"/>
      <c r="AB31" s="2"/>
      <c r="AC31" s="2"/>
      <c r="AD31" s="2"/>
    </row>
    <row r="32" ht="15.0" customHeight="1">
      <c r="A32" s="22"/>
      <c r="B32" s="18">
        <v>2.011</v>
      </c>
      <c r="C32" s="19"/>
      <c r="D32" s="2"/>
      <c r="E32" s="22"/>
      <c r="F32" s="18">
        <v>2.011</v>
      </c>
      <c r="G32" s="20"/>
      <c r="H32" s="2"/>
      <c r="I32" s="22"/>
      <c r="J32" s="18">
        <v>2.011</v>
      </c>
      <c r="K32" s="20"/>
      <c r="L32" s="2"/>
      <c r="M32" s="2"/>
      <c r="N32" s="2"/>
      <c r="O32" s="2"/>
      <c r="P32" s="24"/>
      <c r="Q32" s="27"/>
      <c r="R32" s="27"/>
      <c r="T32" s="24"/>
      <c r="U32" s="27"/>
      <c r="V32" s="27"/>
      <c r="X32" s="24"/>
      <c r="Y32" s="27"/>
      <c r="Z32" s="27"/>
      <c r="AA32" s="2"/>
      <c r="AB32" s="2"/>
      <c r="AC32" s="2"/>
      <c r="AD32" s="2"/>
    </row>
    <row r="33" ht="15.0" customHeight="1">
      <c r="A33" s="22"/>
      <c r="B33" s="18">
        <v>3.016</v>
      </c>
      <c r="C33" s="19"/>
      <c r="D33" s="2"/>
      <c r="E33" s="22"/>
      <c r="F33" s="18">
        <v>3.016</v>
      </c>
      <c r="G33" s="20"/>
      <c r="H33" s="2"/>
      <c r="I33" s="22"/>
      <c r="J33" s="18">
        <v>3.016</v>
      </c>
      <c r="K33" s="20"/>
      <c r="L33" s="2"/>
      <c r="M33" s="2"/>
      <c r="N33" s="2"/>
      <c r="O33" s="2"/>
      <c r="P33" s="24"/>
      <c r="Q33" s="27"/>
      <c r="R33" s="27"/>
      <c r="T33" s="24"/>
      <c r="U33" s="27"/>
      <c r="V33" s="27"/>
      <c r="X33" s="24"/>
      <c r="Y33" s="27"/>
      <c r="Z33" s="27"/>
      <c r="AA33" s="2"/>
      <c r="AB33" s="2"/>
      <c r="AC33" s="2"/>
      <c r="AD33" s="2"/>
    </row>
    <row r="34" ht="15.0" customHeight="1">
      <c r="A34" s="22"/>
      <c r="B34" s="18" t="str">
        <f>IF($F$24="3000V","Não Usar","4,009")</f>
        <v>4,009</v>
      </c>
      <c r="C34" s="19" t="str">
        <f t="shared" ref="C34:C35" si="4">if(B34="Não Usar","Não Usar","")</f>
        <v/>
      </c>
      <c r="D34" s="2"/>
      <c r="E34" s="22"/>
      <c r="F34" s="18" t="str">
        <f t="shared" ref="F34:F35" si="5">IF($F$24="3000V","Não Usar","4,009")</f>
        <v>4,009</v>
      </c>
      <c r="G34" s="19" t="str">
        <f t="shared" ref="G34:G35" si="6">if(F34="Não Usar","Não Usar","")</f>
        <v/>
      </c>
      <c r="H34" s="2"/>
      <c r="I34" s="22"/>
      <c r="J34" s="18" t="str">
        <f t="shared" ref="J34:J35" si="7">IF($F$24="3000V","Não Usar","4,009")</f>
        <v>4,009</v>
      </c>
      <c r="K34" s="19" t="str">
        <f t="shared" ref="K34:K35" si="8">if(J34="Não Usar","Não Usar","")</f>
        <v/>
      </c>
      <c r="L34" s="2"/>
      <c r="M34" s="2"/>
      <c r="N34" s="2"/>
      <c r="O34" s="2"/>
      <c r="P34" s="24"/>
      <c r="Q34" s="27"/>
      <c r="R34" s="27"/>
      <c r="T34" s="24"/>
      <c r="U34" s="27"/>
      <c r="V34" s="27"/>
      <c r="X34" s="24"/>
      <c r="Y34" s="27"/>
      <c r="Z34" s="27"/>
      <c r="AA34" s="2"/>
      <c r="AB34" s="2"/>
      <c r="AC34" s="2"/>
      <c r="AD34" s="2"/>
    </row>
    <row r="35" ht="15.0" customHeight="1">
      <c r="A35" s="23"/>
      <c r="B35" s="18" t="str">
        <f>IF($F$24="3000V","Não Usar","5,012")</f>
        <v>5,012</v>
      </c>
      <c r="C35" s="19" t="str">
        <f t="shared" si="4"/>
        <v/>
      </c>
      <c r="D35" s="24"/>
      <c r="E35" s="23"/>
      <c r="F35" s="18" t="str">
        <f t="shared" si="5"/>
        <v>4,009</v>
      </c>
      <c r="G35" s="19" t="str">
        <f t="shared" si="6"/>
        <v/>
      </c>
      <c r="H35" s="24"/>
      <c r="I35" s="23"/>
      <c r="J35" s="18" t="str">
        <f t="shared" si="7"/>
        <v>4,009</v>
      </c>
      <c r="K35" s="19" t="str">
        <f t="shared" si="8"/>
        <v/>
      </c>
      <c r="L35" s="2"/>
      <c r="M35" s="2"/>
      <c r="N35" s="2"/>
      <c r="O35" s="2"/>
      <c r="P35" s="24"/>
      <c r="Q35" s="27"/>
      <c r="R35" s="27"/>
      <c r="T35" s="24"/>
      <c r="U35" s="27"/>
      <c r="V35" s="27"/>
      <c r="X35" s="24"/>
      <c r="Y35" s="27"/>
      <c r="Z35" s="27"/>
      <c r="AA35" s="2"/>
      <c r="AB35" s="2"/>
      <c r="AC35" s="2"/>
      <c r="AD35" s="2"/>
    </row>
    <row r="36" ht="3.75" customHeight="1">
      <c r="B36" s="25"/>
      <c r="L36" s="2"/>
      <c r="M36" s="2"/>
      <c r="N36" s="2"/>
      <c r="O36" s="2"/>
      <c r="AA36" s="2"/>
      <c r="AB36" s="2"/>
      <c r="AC36" s="2"/>
      <c r="AD36" s="2"/>
    </row>
    <row r="37" ht="15.0" customHeight="1">
      <c r="A37" s="26" t="s">
        <v>22</v>
      </c>
      <c r="B37" s="4"/>
      <c r="C37" s="4"/>
      <c r="D37" s="4"/>
      <c r="E37" s="4"/>
      <c r="F37" s="4"/>
      <c r="G37" s="4"/>
      <c r="H37" s="4"/>
      <c r="I37" s="4"/>
      <c r="J37" s="4"/>
      <c r="K37" s="5"/>
      <c r="L37" s="2"/>
      <c r="M37" s="2"/>
      <c r="N37" s="2"/>
      <c r="O37" s="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"/>
      <c r="AB37" s="2"/>
      <c r="AC37" s="2"/>
      <c r="AD37" s="2"/>
    </row>
    <row r="38" ht="15.0" customHeight="1">
      <c r="A38" s="15" t="s">
        <v>19</v>
      </c>
      <c r="B38" s="16" t="s">
        <v>20</v>
      </c>
      <c r="C38" s="16" t="s">
        <v>21</v>
      </c>
      <c r="D38" s="2"/>
      <c r="E38" s="15" t="s">
        <v>19</v>
      </c>
      <c r="F38" s="16" t="s">
        <v>20</v>
      </c>
      <c r="G38" s="16" t="s">
        <v>21</v>
      </c>
      <c r="H38" s="2"/>
      <c r="I38" s="15" t="s">
        <v>19</v>
      </c>
      <c r="J38" s="16" t="s">
        <v>20</v>
      </c>
      <c r="K38" s="16" t="s">
        <v>21</v>
      </c>
      <c r="L38" s="2"/>
      <c r="M38" s="2"/>
      <c r="N38" s="2"/>
      <c r="O38" s="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"/>
      <c r="AB38" s="2"/>
      <c r="AC38" s="2"/>
      <c r="AD38" s="2"/>
    </row>
    <row r="39" ht="15.0" customHeight="1">
      <c r="A39" s="17">
        <v>1.0</v>
      </c>
      <c r="B39" s="18" t="str">
        <f>IF($J$24="30mA","0,9",IF($J$24 = "150mA","5","50"))</f>
        <v>50</v>
      </c>
      <c r="C39" s="19"/>
      <c r="D39" s="2"/>
      <c r="E39" s="17">
        <v>2.0</v>
      </c>
      <c r="F39" s="18" t="str">
        <f>IF($J$24="30mA","0,9",IF($J$24 = "150mA","5","50"))</f>
        <v>50</v>
      </c>
      <c r="G39" s="20"/>
      <c r="H39" s="2"/>
      <c r="I39" s="21">
        <v>3.0</v>
      </c>
      <c r="J39" s="18" t="str">
        <f>IF($J$24="30mA","0,9",IF($J$24 = "150mA","5","50"))</f>
        <v>50</v>
      </c>
      <c r="K39" s="20"/>
      <c r="L39" s="2"/>
      <c r="M39" s="2"/>
      <c r="N39" s="2"/>
      <c r="O39" s="2"/>
      <c r="P39" s="24"/>
      <c r="Q39" s="24"/>
      <c r="R39" s="24"/>
      <c r="T39" s="24"/>
      <c r="X39" s="24"/>
      <c r="Y39" s="24"/>
      <c r="Z39" s="24"/>
      <c r="AA39" s="2"/>
      <c r="AB39" s="2"/>
      <c r="AC39" s="2"/>
      <c r="AD39" s="2"/>
    </row>
    <row r="40" ht="15.0" customHeight="1">
      <c r="A40" s="22"/>
      <c r="B40" s="18" t="str">
        <f>IF($J$24="30mA","5",IF($J$24 = "150mA","12,5","100"))</f>
        <v>100</v>
      </c>
      <c r="C40" s="19"/>
      <c r="D40" s="2"/>
      <c r="E40" s="22"/>
      <c r="F40" s="18" t="str">
        <f>IF($J$24="30mA","5",IF($J$24 = "150mA","12,5","100"))</f>
        <v>100</v>
      </c>
      <c r="G40" s="20"/>
      <c r="H40" s="2"/>
      <c r="I40" s="22"/>
      <c r="J40" s="18" t="str">
        <f>IF($J$24="30mA","5",IF($J$24 = "150mA","12,5","100"))</f>
        <v>100</v>
      </c>
      <c r="K40" s="20"/>
      <c r="P40" s="24"/>
      <c r="Q40" s="24"/>
      <c r="R40" s="24"/>
      <c r="T40" s="24"/>
      <c r="X40" s="24"/>
      <c r="Y40" s="24"/>
      <c r="Z40" s="24"/>
    </row>
    <row r="41" ht="15.0" customHeight="1">
      <c r="A41" s="22"/>
      <c r="B41" s="18" t="str">
        <f>IF($J$24="30mA","12,5",IF($J$24 = "150mA","25","200,2"))</f>
        <v>200,2</v>
      </c>
      <c r="C41" s="19"/>
      <c r="D41" s="2"/>
      <c r="E41" s="22"/>
      <c r="F41" s="18" t="str">
        <f>IF($J$24="30mA","12,5",IF($J$24 = "150mA","25","200,2"))</f>
        <v>200,2</v>
      </c>
      <c r="G41" s="20"/>
      <c r="H41" s="2"/>
      <c r="I41" s="22"/>
      <c r="J41" s="18" t="str">
        <f>IF($J$24="30mA","12,5",IF($J$24 = "150mA","25","200,2"))</f>
        <v>200,2</v>
      </c>
      <c r="K41" s="20"/>
      <c r="L41" s="2"/>
      <c r="M41" s="2"/>
      <c r="N41" s="2"/>
      <c r="O41" s="2"/>
      <c r="P41" s="24"/>
      <c r="T41" s="24"/>
      <c r="AA41" s="2"/>
      <c r="AB41" s="2"/>
      <c r="AC41" s="2"/>
      <c r="AD41" s="2"/>
    </row>
    <row r="42" ht="15.0" customHeight="1">
      <c r="A42" s="22"/>
      <c r="B42" s="18" t="str">
        <f>IF($J$24="30mA","25",IF($J$24 = "150mA","50","300,2"))</f>
        <v>300,2</v>
      </c>
      <c r="C42" s="19"/>
      <c r="D42" s="2"/>
      <c r="E42" s="22"/>
      <c r="F42" s="18" t="str">
        <f>IF($J$24="30mA","25",IF($J$24 = "150mA","50","300,2"))</f>
        <v>300,2</v>
      </c>
      <c r="G42" s="20"/>
      <c r="H42" s="2"/>
      <c r="I42" s="22"/>
      <c r="J42" s="18" t="str">
        <f>IF($J$24="30mA","25",IF($J$24 = "150mA","50","300,2"))</f>
        <v>300,2</v>
      </c>
      <c r="K42" s="20"/>
      <c r="L42" s="2"/>
      <c r="M42" s="2"/>
      <c r="N42" s="2"/>
      <c r="O42" s="2"/>
      <c r="AA42" s="2"/>
      <c r="AB42" s="2"/>
      <c r="AC42" s="2"/>
      <c r="AD42" s="2"/>
    </row>
    <row r="43" ht="15.0" customHeight="1">
      <c r="A43" s="23"/>
      <c r="B43" s="18" t="str">
        <f>IF($J$24="30mA","30",IF($J$24 = "150mA","100",IF($J$24="300mA","Não Usar","400,3")))</f>
        <v>Não Usar</v>
      </c>
      <c r="C43" s="18" t="str">
        <f>IF(B43="Não Usar","Não Usar","")</f>
        <v>Não Usar</v>
      </c>
      <c r="D43" s="24"/>
      <c r="E43" s="23"/>
      <c r="F43" s="18" t="str">
        <f>IF($J$24="30mA","30",IF($J$24 = "150mA","100",IF($J$24="300mA","Não Usar","400,3")))</f>
        <v>Não Usar</v>
      </c>
      <c r="G43" s="18" t="str">
        <f>IF(F43="Não Usar","Não Usar","")</f>
        <v>Não Usar</v>
      </c>
      <c r="H43" s="24"/>
      <c r="I43" s="23"/>
      <c r="J43" s="18" t="str">
        <f>IF($J$24="30mA","30",IF($J$24 = "150mA","100",IF($J$24="300mA","Não Usar","400,3")))</f>
        <v>Não Usar</v>
      </c>
      <c r="K43" s="18" t="str">
        <f>IF(J43="Não Usar","Não Usar","")</f>
        <v>Não Usar</v>
      </c>
      <c r="L43" s="2"/>
      <c r="M43" s="2"/>
      <c r="N43" s="2"/>
      <c r="O43" s="2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"/>
      <c r="AB43" s="2"/>
      <c r="AC43" s="2"/>
      <c r="AD43" s="2"/>
    </row>
    <row r="44" ht="3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"/>
      <c r="M44" s="2"/>
      <c r="N44" s="2"/>
      <c r="O44" s="2"/>
      <c r="P44" s="24"/>
      <c r="Q44" s="24"/>
      <c r="R44" s="24"/>
      <c r="AA44" s="2"/>
      <c r="AB44" s="2"/>
      <c r="AC44" s="2"/>
      <c r="AD44" s="2"/>
    </row>
    <row r="45" ht="15.0" customHeight="1">
      <c r="A45" s="1" t="s">
        <v>0</v>
      </c>
      <c r="L45" s="2"/>
      <c r="M45" s="2"/>
      <c r="N45" s="2"/>
      <c r="O45" s="2"/>
      <c r="P45" s="24"/>
      <c r="Q45" s="24"/>
      <c r="R45" s="24"/>
      <c r="T45" s="24"/>
      <c r="U45" s="24"/>
      <c r="V45" s="24"/>
      <c r="X45" s="24"/>
      <c r="Y45" s="24"/>
      <c r="Z45" s="24"/>
      <c r="AA45" s="2"/>
      <c r="AB45" s="2"/>
      <c r="AC45" s="2"/>
      <c r="AD45" s="2"/>
    </row>
    <row r="46" ht="15.0" customHeight="1">
      <c r="A46" s="3" t="s">
        <v>1</v>
      </c>
      <c r="B46" s="4"/>
      <c r="C46" s="5"/>
      <c r="D46" s="6"/>
      <c r="E46" s="7" t="s">
        <v>2</v>
      </c>
      <c r="F46" s="3" t="s">
        <v>3</v>
      </c>
      <c r="G46" s="5"/>
      <c r="H46" s="6"/>
      <c r="I46" s="7" t="s">
        <v>4</v>
      </c>
      <c r="J46" s="3" t="s">
        <v>23</v>
      </c>
      <c r="K46" s="5"/>
      <c r="L46" s="2"/>
      <c r="M46" s="2"/>
      <c r="N46" s="2"/>
      <c r="O46" s="2"/>
      <c r="P46" s="24"/>
      <c r="Q46" s="27"/>
      <c r="R46" s="27"/>
      <c r="T46" s="24"/>
      <c r="U46" s="27"/>
      <c r="V46" s="27"/>
      <c r="X46" s="24"/>
      <c r="Y46" s="27"/>
      <c r="Z46" s="27"/>
      <c r="AA46" s="2"/>
      <c r="AB46" s="2"/>
      <c r="AC46" s="2"/>
      <c r="AD46" s="2"/>
    </row>
    <row r="47" ht="15.0" customHeight="1">
      <c r="A47" s="7" t="s">
        <v>6</v>
      </c>
      <c r="B47" s="8" t="s">
        <v>7</v>
      </c>
      <c r="C47" s="5"/>
      <c r="D47" s="2"/>
      <c r="E47" s="7" t="s">
        <v>8</v>
      </c>
      <c r="F47" s="9"/>
      <c r="G47" s="5"/>
      <c r="H47" s="2"/>
      <c r="I47" s="7" t="s">
        <v>9</v>
      </c>
      <c r="J47" s="10" t="s">
        <v>10</v>
      </c>
      <c r="K47" s="5"/>
      <c r="L47" s="2"/>
      <c r="M47" s="2"/>
      <c r="N47" s="2"/>
      <c r="O47" s="2"/>
      <c r="P47" s="24"/>
      <c r="Q47" s="27"/>
      <c r="R47" s="27"/>
      <c r="T47" s="24"/>
      <c r="U47" s="27"/>
      <c r="V47" s="27"/>
      <c r="X47" s="24"/>
      <c r="Y47" s="27"/>
      <c r="Z47" s="27"/>
      <c r="AA47" s="2"/>
      <c r="AB47" s="2"/>
      <c r="AC47" s="2"/>
      <c r="AD47" s="2"/>
    </row>
    <row r="48" ht="15.0" customHeight="1">
      <c r="A48" s="11" t="s">
        <v>11</v>
      </c>
      <c r="B48" s="8" t="s">
        <v>12</v>
      </c>
      <c r="C48" s="5"/>
      <c r="D48" s="2"/>
      <c r="E48" s="7" t="s">
        <v>13</v>
      </c>
      <c r="F48" s="9"/>
      <c r="G48" s="5"/>
      <c r="H48" s="2"/>
      <c r="I48" s="7" t="s">
        <v>14</v>
      </c>
      <c r="J48" s="12" t="s">
        <v>15</v>
      </c>
      <c r="K48" s="13"/>
      <c r="L48" s="2"/>
      <c r="M48" s="2"/>
      <c r="N48" s="2"/>
      <c r="O48" s="2"/>
      <c r="P48" s="24"/>
      <c r="Q48" s="27"/>
      <c r="R48" s="27"/>
      <c r="T48" s="24"/>
      <c r="U48" s="27"/>
      <c r="V48" s="27"/>
      <c r="X48" s="24"/>
      <c r="Y48" s="27"/>
      <c r="Z48" s="27"/>
      <c r="AA48" s="2"/>
      <c r="AB48" s="2"/>
      <c r="AC48" s="2"/>
      <c r="AD48" s="2"/>
    </row>
    <row r="49" ht="15.0" customHeight="1">
      <c r="A49" s="7" t="s">
        <v>16</v>
      </c>
      <c r="B49" s="9"/>
      <c r="C49" s="5"/>
      <c r="D49" s="2"/>
      <c r="E49" s="7" t="s">
        <v>17</v>
      </c>
      <c r="F49" s="9"/>
      <c r="G49" s="5"/>
      <c r="H49" s="2"/>
      <c r="I49" s="7" t="s">
        <v>2</v>
      </c>
      <c r="J49" s="9"/>
      <c r="K49" s="5"/>
      <c r="L49" s="2"/>
      <c r="M49" s="2"/>
      <c r="N49" s="2"/>
      <c r="O49" s="2"/>
      <c r="P49" s="24"/>
      <c r="Q49" s="27"/>
      <c r="R49" s="27"/>
      <c r="T49" s="24"/>
      <c r="U49" s="27"/>
      <c r="V49" s="27"/>
      <c r="X49" s="24"/>
      <c r="Y49" s="27"/>
      <c r="Z49" s="27"/>
      <c r="AA49" s="2"/>
      <c r="AB49" s="2"/>
      <c r="AC49" s="2"/>
      <c r="AD49" s="2"/>
    </row>
    <row r="50" ht="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L50" s="2"/>
      <c r="M50" s="2"/>
      <c r="N50" s="2"/>
      <c r="O50" s="2"/>
      <c r="AA50" s="2"/>
      <c r="AB50" s="2"/>
      <c r="AC50" s="2"/>
      <c r="AD50" s="2"/>
    </row>
    <row r="51" ht="15.0" customHeight="1">
      <c r="A51" s="14" t="s">
        <v>18</v>
      </c>
      <c r="B51" s="4"/>
      <c r="C51" s="4"/>
      <c r="D51" s="4"/>
      <c r="E51" s="4"/>
      <c r="F51" s="4"/>
      <c r="G51" s="4"/>
      <c r="H51" s="4"/>
      <c r="I51" s="4"/>
      <c r="J51" s="4"/>
      <c r="K51" s="5"/>
      <c r="L51" s="2"/>
      <c r="M51" s="2"/>
      <c r="N51" s="2"/>
      <c r="O51" s="2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"/>
      <c r="AB51" s="2"/>
      <c r="AC51" s="2"/>
      <c r="AD51" s="2"/>
    </row>
    <row r="52" ht="15.0" customHeight="1">
      <c r="A52" s="15" t="s">
        <v>19</v>
      </c>
      <c r="B52" s="16" t="s">
        <v>20</v>
      </c>
      <c r="C52" s="16" t="s">
        <v>21</v>
      </c>
      <c r="D52" s="2"/>
      <c r="E52" s="15" t="s">
        <v>19</v>
      </c>
      <c r="F52" s="16" t="s">
        <v>20</v>
      </c>
      <c r="G52" s="16" t="s">
        <v>21</v>
      </c>
      <c r="H52" s="2"/>
      <c r="I52" s="15" t="s">
        <v>19</v>
      </c>
      <c r="J52" s="16" t="s">
        <v>20</v>
      </c>
      <c r="K52" s="16" t="s">
        <v>21</v>
      </c>
      <c r="L52" s="2"/>
      <c r="M52" s="2"/>
      <c r="N52" s="2"/>
      <c r="O52" s="2"/>
      <c r="P52" s="24"/>
      <c r="Q52" s="24"/>
      <c r="R52" s="24"/>
      <c r="T52" s="24"/>
      <c r="X52" s="24"/>
      <c r="Y52" s="24"/>
      <c r="Z52" s="24"/>
      <c r="AA52" s="2"/>
      <c r="AB52" s="2"/>
      <c r="AC52" s="2"/>
      <c r="AD52" s="2"/>
    </row>
    <row r="53" ht="15.0" customHeight="1">
      <c r="A53" s="17">
        <v>1.0</v>
      </c>
      <c r="B53" s="18">
        <v>0.979</v>
      </c>
      <c r="C53" s="19"/>
      <c r="D53" s="2"/>
      <c r="E53" s="17">
        <v>2.0</v>
      </c>
      <c r="F53" s="18">
        <v>0.979</v>
      </c>
      <c r="G53" s="20"/>
      <c r="H53" s="2"/>
      <c r="I53" s="21">
        <v>3.0</v>
      </c>
      <c r="J53" s="18">
        <v>0.979</v>
      </c>
      <c r="K53" s="20"/>
      <c r="L53" s="2"/>
      <c r="M53" s="2"/>
      <c r="N53" s="2"/>
      <c r="O53" s="2"/>
      <c r="P53" s="24"/>
      <c r="Q53" s="24"/>
      <c r="R53" s="24"/>
      <c r="T53" s="24"/>
      <c r="X53" s="24"/>
      <c r="Y53" s="24"/>
      <c r="Z53" s="24"/>
      <c r="AA53" s="2"/>
      <c r="AB53" s="2"/>
      <c r="AC53" s="2"/>
      <c r="AD53" s="2"/>
    </row>
    <row r="54" ht="15.0" customHeight="1">
      <c r="A54" s="22"/>
      <c r="B54" s="18">
        <v>2.011</v>
      </c>
      <c r="C54" s="19"/>
      <c r="D54" s="2"/>
      <c r="E54" s="22"/>
      <c r="F54" s="18">
        <v>2.011</v>
      </c>
      <c r="G54" s="20"/>
      <c r="H54" s="2"/>
      <c r="I54" s="22"/>
      <c r="J54" s="18">
        <v>2.011</v>
      </c>
      <c r="K54" s="20"/>
      <c r="L54" s="2"/>
      <c r="M54" s="2"/>
      <c r="N54" s="2"/>
      <c r="O54" s="2"/>
      <c r="P54" s="24"/>
      <c r="T54" s="24"/>
      <c r="AA54" s="2"/>
      <c r="AB54" s="2"/>
      <c r="AC54" s="2"/>
      <c r="AD54" s="2"/>
    </row>
    <row r="55" ht="15.0" customHeight="1">
      <c r="A55" s="22"/>
      <c r="B55" s="18">
        <v>3.016</v>
      </c>
      <c r="C55" s="19"/>
      <c r="D55" s="2"/>
      <c r="E55" s="22"/>
      <c r="F55" s="18">
        <v>3.016</v>
      </c>
      <c r="G55" s="20"/>
      <c r="H55" s="2"/>
      <c r="I55" s="22"/>
      <c r="J55" s="18">
        <v>3.016</v>
      </c>
      <c r="K55" s="20"/>
      <c r="L55" s="2"/>
      <c r="M55" s="2"/>
      <c r="N55" s="2"/>
      <c r="O55" s="2"/>
      <c r="AA55" s="2"/>
      <c r="AB55" s="2"/>
      <c r="AC55" s="2"/>
      <c r="AD55" s="2"/>
    </row>
    <row r="56" ht="15.0" customHeight="1">
      <c r="A56" s="22"/>
      <c r="B56" s="18" t="str">
        <f>IF($F$46="3000V","Não Usar","4,009")</f>
        <v>4,009</v>
      </c>
      <c r="C56" s="19" t="str">
        <f t="shared" ref="C56:C57" si="9">if(B56="Não Usar","Não Usar","")</f>
        <v/>
      </c>
      <c r="D56" s="2"/>
      <c r="E56" s="22"/>
      <c r="F56" s="18" t="str">
        <f>IF($F$46="3000V","Não Usar","4,009")</f>
        <v>4,009</v>
      </c>
      <c r="G56" s="19" t="str">
        <f t="shared" ref="G56:G57" si="10">if(F56="Não Usar","Não Usar","")</f>
        <v/>
      </c>
      <c r="H56" s="2"/>
      <c r="I56" s="22"/>
      <c r="J56" s="18" t="str">
        <f>IF($F$46="3000V","Não Usar","4,009")</f>
        <v>4,009</v>
      </c>
      <c r="K56" s="19" t="str">
        <f t="shared" ref="K56:K57" si="11">if(J56="Não Usar","Não Usar","")</f>
        <v/>
      </c>
      <c r="L56" s="2"/>
      <c r="M56" s="2"/>
      <c r="N56" s="2"/>
      <c r="O56" s="2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"/>
      <c r="AB56" s="2"/>
      <c r="AC56" s="2"/>
      <c r="AD56" s="2"/>
    </row>
    <row r="57" ht="15.0" customHeight="1">
      <c r="A57" s="23"/>
      <c r="B57" s="18" t="str">
        <f>IF($F$46="3000V","Não Usar","5,012")</f>
        <v>5,012</v>
      </c>
      <c r="C57" s="19" t="str">
        <f t="shared" si="9"/>
        <v/>
      </c>
      <c r="D57" s="24"/>
      <c r="E57" s="23"/>
      <c r="F57" s="18" t="str">
        <f>IF($F$46="3000V","Não Usar","5,012")</f>
        <v>5,012</v>
      </c>
      <c r="G57" s="19" t="str">
        <f t="shared" si="10"/>
        <v/>
      </c>
      <c r="H57" s="24"/>
      <c r="I57" s="23"/>
      <c r="J57" s="18" t="str">
        <f>IF($F$46="3000V","Não Usar","5,012")</f>
        <v>5,012</v>
      </c>
      <c r="K57" s="19" t="str">
        <f t="shared" si="11"/>
        <v/>
      </c>
      <c r="L57" s="2"/>
      <c r="M57" s="2"/>
      <c r="N57" s="2"/>
      <c r="O57" s="2"/>
      <c r="P57" s="24"/>
      <c r="Q57" s="24"/>
      <c r="R57" s="24"/>
      <c r="AA57" s="2"/>
      <c r="AB57" s="2"/>
      <c r="AC57" s="2"/>
      <c r="AD57" s="2"/>
    </row>
    <row r="58" ht="3.75" customHeight="1">
      <c r="B58" s="25"/>
      <c r="L58" s="2"/>
      <c r="M58" s="2"/>
      <c r="N58" s="2"/>
      <c r="O58" s="2"/>
      <c r="P58" s="24"/>
      <c r="Q58" s="24"/>
      <c r="R58" s="24"/>
      <c r="T58" s="24"/>
      <c r="U58" s="24"/>
      <c r="V58" s="24"/>
      <c r="X58" s="24"/>
      <c r="Y58" s="24"/>
      <c r="Z58" s="24"/>
      <c r="AA58" s="2"/>
      <c r="AB58" s="2"/>
      <c r="AC58" s="2"/>
      <c r="AD58" s="2"/>
    </row>
    <row r="59" ht="15.0" customHeight="1">
      <c r="A59" s="26" t="s">
        <v>22</v>
      </c>
      <c r="B59" s="4"/>
      <c r="C59" s="4"/>
      <c r="D59" s="4"/>
      <c r="E59" s="4"/>
      <c r="F59" s="4"/>
      <c r="G59" s="4"/>
      <c r="H59" s="4"/>
      <c r="I59" s="4"/>
      <c r="J59" s="4"/>
      <c r="K59" s="5"/>
      <c r="L59" s="2"/>
      <c r="M59" s="2"/>
      <c r="N59" s="2"/>
      <c r="O59" s="2"/>
      <c r="P59" s="24"/>
      <c r="Q59" s="27"/>
      <c r="R59" s="27"/>
      <c r="T59" s="24"/>
      <c r="U59" s="27"/>
      <c r="V59" s="27"/>
      <c r="X59" s="24"/>
      <c r="Y59" s="27"/>
      <c r="Z59" s="27"/>
      <c r="AA59" s="2"/>
      <c r="AB59" s="2"/>
      <c r="AC59" s="2"/>
      <c r="AD59" s="2"/>
    </row>
    <row r="60" ht="15.0" customHeight="1">
      <c r="A60" s="15" t="s">
        <v>19</v>
      </c>
      <c r="B60" s="16" t="s">
        <v>20</v>
      </c>
      <c r="C60" s="16" t="s">
        <v>21</v>
      </c>
      <c r="D60" s="2"/>
      <c r="E60" s="15" t="s">
        <v>19</v>
      </c>
      <c r="F60" s="16" t="s">
        <v>20</v>
      </c>
      <c r="G60" s="16" t="s">
        <v>21</v>
      </c>
      <c r="H60" s="2"/>
      <c r="I60" s="15" t="s">
        <v>19</v>
      </c>
      <c r="J60" s="16" t="s">
        <v>20</v>
      </c>
      <c r="K60" s="16" t="s">
        <v>21</v>
      </c>
      <c r="L60" s="2"/>
      <c r="M60" s="2"/>
      <c r="N60" s="2"/>
      <c r="O60" s="2"/>
      <c r="P60" s="24"/>
      <c r="Q60" s="27"/>
      <c r="R60" s="27"/>
      <c r="T60" s="24"/>
      <c r="U60" s="27"/>
      <c r="V60" s="27"/>
      <c r="X60" s="24"/>
      <c r="Y60" s="27"/>
      <c r="Z60" s="27"/>
      <c r="AA60" s="2"/>
      <c r="AB60" s="2"/>
      <c r="AC60" s="2"/>
      <c r="AD60" s="2"/>
    </row>
    <row r="61" ht="15.0" customHeight="1">
      <c r="A61" s="17">
        <v>1.0</v>
      </c>
      <c r="B61" s="18" t="str">
        <f>IF($J$46="30mA","0,9",IF($J$46 = "150mA","5","50"))</f>
        <v>50</v>
      </c>
      <c r="C61" s="19"/>
      <c r="D61" s="2"/>
      <c r="E61" s="17">
        <v>2.0</v>
      </c>
      <c r="F61" s="18" t="str">
        <f>IF($J$46="30mA","0,9",IF($J$46 = "150mA","5","50"))</f>
        <v>50</v>
      </c>
      <c r="G61" s="20"/>
      <c r="H61" s="2"/>
      <c r="I61" s="21">
        <v>3.0</v>
      </c>
      <c r="J61" s="18" t="str">
        <f>IF($J$46="30mA","0,9",IF($J$46 = "150mA","5","50"))</f>
        <v>50</v>
      </c>
      <c r="K61" s="20"/>
      <c r="L61" s="2"/>
      <c r="M61" s="2"/>
      <c r="N61" s="2"/>
      <c r="O61" s="2"/>
      <c r="P61" s="24"/>
      <c r="Q61" s="27"/>
      <c r="R61" s="27"/>
      <c r="T61" s="24"/>
      <c r="U61" s="27"/>
      <c r="V61" s="27"/>
      <c r="X61" s="24"/>
      <c r="Y61" s="27"/>
      <c r="Z61" s="27"/>
      <c r="AA61" s="2"/>
      <c r="AB61" s="2"/>
      <c r="AC61" s="2"/>
      <c r="AD61" s="2"/>
    </row>
    <row r="62" ht="15.0" customHeight="1">
      <c r="A62" s="22"/>
      <c r="B62" s="18" t="str">
        <f>IF($J$46="30mA","5",IF($J$46 = "150mA","12,5","100"))</f>
        <v>100</v>
      </c>
      <c r="C62" s="19"/>
      <c r="D62" s="2"/>
      <c r="E62" s="22"/>
      <c r="F62" s="18" t="str">
        <f>IF($J$46="30mA","5",IF($J$46 = "150mA","12,5","100"))</f>
        <v>100</v>
      </c>
      <c r="G62" s="20"/>
      <c r="H62" s="2"/>
      <c r="I62" s="22"/>
      <c r="J62" s="18" t="str">
        <f>IF($J$46="30mA","5",IF($J$46 = "150mA","12,5","100"))</f>
        <v>100</v>
      </c>
      <c r="K62" s="20"/>
      <c r="L62" s="2"/>
      <c r="M62" s="2"/>
      <c r="N62" s="2"/>
      <c r="O62" s="2"/>
      <c r="P62" s="24"/>
      <c r="Q62" s="27"/>
      <c r="R62" s="27"/>
      <c r="T62" s="24"/>
      <c r="U62" s="27"/>
      <c r="V62" s="27"/>
      <c r="X62" s="24"/>
      <c r="Y62" s="27"/>
      <c r="Z62" s="27"/>
      <c r="AA62" s="2"/>
      <c r="AB62" s="2"/>
      <c r="AC62" s="2"/>
      <c r="AD62" s="2"/>
    </row>
    <row r="63" ht="15.0" customHeight="1">
      <c r="A63" s="22"/>
      <c r="B63" s="18" t="str">
        <f>IF($J$46="30mA","12,5",IF($J$46 = "150mA","25","200,2"))</f>
        <v>200,2</v>
      </c>
      <c r="C63" s="19"/>
      <c r="D63" s="2"/>
      <c r="E63" s="22"/>
      <c r="F63" s="18" t="str">
        <f>IF($J$46="30mA","12,5",IF($J$46 = "150mA","25","200,2"))</f>
        <v>200,2</v>
      </c>
      <c r="G63" s="20"/>
      <c r="H63" s="2"/>
      <c r="I63" s="22"/>
      <c r="J63" s="18" t="str">
        <f>IF($J$46="30mA","12,5",IF($J$46 = "150mA","25","200,2"))</f>
        <v>200,2</v>
      </c>
      <c r="K63" s="2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0" customHeight="1">
      <c r="A64" s="22"/>
      <c r="B64" s="18" t="str">
        <f>IF($J$46="30mA","25",IF($J$46 = "150mA","50","300,2"))</f>
        <v>300,2</v>
      </c>
      <c r="C64" s="19"/>
      <c r="D64" s="2"/>
      <c r="E64" s="22"/>
      <c r="F64" s="18" t="str">
        <f>IF($J$46="30mA","25",IF($J$46 = "150mA","50","300,2"))</f>
        <v>300,2</v>
      </c>
      <c r="G64" s="20"/>
      <c r="H64" s="2"/>
      <c r="I64" s="22"/>
      <c r="J64" s="18" t="str">
        <f>IF($J$46="30mA","25",IF($J$46 = "150mA","50","300,2"))</f>
        <v>300,2</v>
      </c>
      <c r="K64" s="2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0" customHeight="1">
      <c r="A65" s="23"/>
      <c r="B65" s="18" t="str">
        <f>IF($J$46="30mA","30",IF($J$46 = "150mA","100",IF($J$46="300mA","Não Usar","400,3")))</f>
        <v>Não Usar</v>
      </c>
      <c r="C65" s="18" t="str">
        <f>IF(B65="Não Usar","Não Usar","")</f>
        <v>Não Usar</v>
      </c>
      <c r="D65" s="24"/>
      <c r="E65" s="23"/>
      <c r="F65" s="18" t="str">
        <f>IF($J$46="30mA","30",IF($J$46 = "150mA","100",IF($J$46="300mA","Não Usar","400,3")))</f>
        <v>Não Usar</v>
      </c>
      <c r="G65" s="18" t="str">
        <f>IF(F65="Não Usar","Não Usar","")</f>
        <v>Não Usar</v>
      </c>
      <c r="H65" s="24"/>
      <c r="I65" s="23"/>
      <c r="J65" s="18" t="str">
        <f>IF($J$46="30mA","30",IF($J$46 = "150mA","100",IF($J$46="300mA","Não Usar","400,3")))</f>
        <v>Não Usar</v>
      </c>
      <c r="K65" s="18" t="str">
        <f>IF(J65="Não Usar","Não Usar","")</f>
        <v>Não Usar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</sheetData>
  <mergeCells count="66">
    <mergeCell ref="I31:I35"/>
    <mergeCell ref="I39:I43"/>
    <mergeCell ref="J28:K28"/>
    <mergeCell ref="A29:K29"/>
    <mergeCell ref="A31:A35"/>
    <mergeCell ref="E31:E35"/>
    <mergeCell ref="A37:K37"/>
    <mergeCell ref="A39:A43"/>
    <mergeCell ref="E39:E43"/>
    <mergeCell ref="F47:G47"/>
    <mergeCell ref="F48:G48"/>
    <mergeCell ref="A45:K45"/>
    <mergeCell ref="A46:C46"/>
    <mergeCell ref="F46:G46"/>
    <mergeCell ref="J46:K46"/>
    <mergeCell ref="B47:C47"/>
    <mergeCell ref="J47:K47"/>
    <mergeCell ref="J48:K48"/>
    <mergeCell ref="E53:E57"/>
    <mergeCell ref="I53:I57"/>
    <mergeCell ref="B48:C48"/>
    <mergeCell ref="B49:C49"/>
    <mergeCell ref="F49:G49"/>
    <mergeCell ref="J49:K49"/>
    <mergeCell ref="J50:K50"/>
    <mergeCell ref="A51:K51"/>
    <mergeCell ref="A59:K59"/>
    <mergeCell ref="F3:G3"/>
    <mergeCell ref="F4:G4"/>
    <mergeCell ref="F5:G5"/>
    <mergeCell ref="I9:I13"/>
    <mergeCell ref="J5:K5"/>
    <mergeCell ref="J6:K6"/>
    <mergeCell ref="A7:K7"/>
    <mergeCell ref="A1:K1"/>
    <mergeCell ref="A2:C2"/>
    <mergeCell ref="F2:G2"/>
    <mergeCell ref="J2:K2"/>
    <mergeCell ref="B3:C3"/>
    <mergeCell ref="J3:K3"/>
    <mergeCell ref="J4:K4"/>
    <mergeCell ref="B4:C4"/>
    <mergeCell ref="B5:C5"/>
    <mergeCell ref="A9:A13"/>
    <mergeCell ref="E9:E13"/>
    <mergeCell ref="A15:K15"/>
    <mergeCell ref="A17:A21"/>
    <mergeCell ref="E17:E21"/>
    <mergeCell ref="I17:I21"/>
    <mergeCell ref="A23:K23"/>
    <mergeCell ref="A24:C24"/>
    <mergeCell ref="F24:G24"/>
    <mergeCell ref="J24:K24"/>
    <mergeCell ref="F25:G25"/>
    <mergeCell ref="J25:K25"/>
    <mergeCell ref="B25:C25"/>
    <mergeCell ref="B26:C26"/>
    <mergeCell ref="F26:G26"/>
    <mergeCell ref="J26:K26"/>
    <mergeCell ref="B27:C27"/>
    <mergeCell ref="F27:G27"/>
    <mergeCell ref="J27:K27"/>
    <mergeCell ref="A53:A57"/>
    <mergeCell ref="A61:A65"/>
    <mergeCell ref="E61:E65"/>
    <mergeCell ref="I61:I65"/>
  </mergeCells>
  <conditionalFormatting sqref="B12:C13 F12:G13 J12:K13 B21:C21 F21:G21 J21:K21 B34:C35 F34:G35 J34:K35 B43:C43 F43:G43 J43:K43 B56:C57 F56:G57 J56:K57 B65:C65 F65:G65 J65:K65">
    <cfRule type="containsText" dxfId="0" priority="1" operator="containsText" text="Não Usar">
      <formula>NOT(ISERROR(SEARCH(("Não Usar"),(B12))))</formula>
    </cfRule>
  </conditionalFormatting>
  <dataValidations>
    <dataValidation type="list" allowBlank="1" showErrorMessage="1" sqref="J2 J24 J46">
      <formula1>"30mA,150mA,500mA,300mA"</formula1>
    </dataValidation>
    <dataValidation type="list" allowBlank="1" showErrorMessage="1" sqref="F2 F24 F46">
      <formula1>"3000V,5000V"</formula1>
    </dataValidation>
  </dataValidation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